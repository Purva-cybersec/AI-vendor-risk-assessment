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nherentRisk" sheetId="2" state="visible" r:id="rId4"/>
    <sheet name="Assessment" sheetId="3" state="visible" r:id="rId5"/>
    <sheet name="Summary" sheetId="4" state="visible" r:id="rId6"/>
    <sheet name="FollowUp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<sst xmlns="http://schemas.openxmlformats.org/spreadsheetml/2006/main" count="428" uniqueCount="240">
  <si>
    <t xml:space="preserve">AI Vendor Risk Assessment — AI Meeting Assistant</t>
  </si>
  <si>
    <t xml:space="preserve">Requesting company</t>
  </si>
  <si>
    <t xml:space="preserve">LedgerLoop, Inc. (fictional B2B expense-management SaaS)</t>
  </si>
  <si>
    <t xml:space="preserve">Requesting team</t>
  </si>
  <si>
    <t xml:space="preserve">Sales and Customer Success</t>
  </si>
  <si>
    <t xml:space="preserve">Intended use</t>
  </si>
  <si>
    <t xml:space="preserve">Record, transcribe, and summarize external customer calls; sync notes to CRM</t>
  </si>
  <si>
    <t xml:space="preserve">Vendors assessed</t>
  </si>
  <si>
    <t xml:space="preserve">Gong; Otter.ai</t>
  </si>
  <si>
    <t xml:space="preserve">Inherent risk tier</t>
  </si>
  <si>
    <t xml:space="preserve">Tier 1 (High)</t>
  </si>
  <si>
    <t xml:space="preserve">Method</t>
  </si>
  <si>
    <t xml:space="preserve">28-question AI due diligence questionnaire answered from vendors' public documentation</t>
  </si>
  <si>
    <t xml:space="preserve">Research date</t>
  </si>
  <si>
    <t xml:space="preserve">September 2026 — vendor documentation and litigation status may have changed since</t>
  </si>
  <si>
    <t xml:space="preserve">Status scale</t>
  </si>
  <si>
    <t xml:space="preserve">Documented / Partial / Not documented — measures transparency</t>
  </si>
  <si>
    <t xml:space="preserve">Assessment scale</t>
  </si>
  <si>
    <t xml:space="preserve">Favorable / Neutral / Unfavorable / Unknown — measures risk</t>
  </si>
  <si>
    <t xml:space="preserve">Recommendation</t>
  </si>
  <si>
    <t xml:space="preserve">Gong: Approve with conditions · Otter.ai: Escalate</t>
  </si>
  <si>
    <t xml:space="preserve">Disclaimer</t>
  </si>
  <si>
    <t xml:space="preserve">Findings reflect public information only; vendors were not contacted. Litigation described is allegations, not findings. Not legal advice.</t>
  </si>
  <si>
    <t xml:space="preserve">Legend</t>
  </si>
  <si>
    <t xml:space="preserve">Favorable</t>
  </si>
  <si>
    <t xml:space="preserve">Unfavorable</t>
  </si>
  <si>
    <t xml:space="preserve">Neutral</t>
  </si>
  <si>
    <t xml:space="preserve">Unknown</t>
  </si>
  <si>
    <t xml:space="preserve">Inherent Risk Assessment — rated on the use case, before vendor review</t>
  </si>
  <si>
    <t xml:space="preserve">Factor</t>
  </si>
  <si>
    <t xml:space="preserve">Rating</t>
  </si>
  <si>
    <t xml:space="preserve">Rationale</t>
  </si>
  <si>
    <t xml:space="preserve">Data sensitivity</t>
  </si>
  <si>
    <t xml:space="preserve">High</t>
  </si>
  <si>
    <t xml:space="preserve">Calls contain customer financial information classified as confidential, plus personal data including participants' names and voices.</t>
  </si>
  <si>
    <t xml:space="preserve">Access and integration</t>
  </si>
  <si>
    <t xml:space="preserve">Reads employee calendars (attendee details, meeting titles), joins meetings automatically, and may sync notes to the CRM.</t>
  </si>
  <si>
    <t xml:space="preserve">Business criticality</t>
  </si>
  <si>
    <t xml:space="preserve">Low</t>
  </si>
  <si>
    <t xml:space="preserve">If unavailable, Sales and Customer Success can continue calls and take notes manually; an outage causes inconvenience, not disruption.</t>
  </si>
  <si>
    <t xml:space="preserve">Regulatory exposure</t>
  </si>
  <si>
    <t xml:space="preserve">All-party recording consent laws in several US states, possible biometric privacy law for voice data, and GDPR for EU participants. Provisional; confirm with Legal.</t>
  </si>
  <si>
    <t xml:space="preserve">AI decision impact</t>
  </si>
  <si>
    <t xml:space="preserve">Medium</t>
  </si>
  <si>
    <t xml:space="preserve">Summaries may inform customer follow-ups and CRM records; a LedgerLoop employee attends every call and can correct errors.</t>
  </si>
  <si>
    <t xml:space="preserve">Fourth-party reliance</t>
  </si>
  <si>
    <t xml:space="preserve">Call content may go to third-party AI model providers with which LedgerLoop has no contract.</t>
  </si>
  <si>
    <t xml:space="preserve">Highest-risk factors (count of High)</t>
  </si>
  <si>
    <t xml:space="preserve">Tiering rule</t>
  </si>
  <si>
    <t xml:space="preserve">Highest-risk factor drives the tier; ratings are not averaged.</t>
  </si>
  <si>
    <t xml:space="preserve">Vendor Assessment — questionnaire answered from public documentation</t>
  </si>
  <si>
    <t xml:space="preserve">Domain</t>
  </si>
  <si>
    <t xml:space="preserve">ID</t>
  </si>
  <si>
    <t xml:space="preserve">Question</t>
  </si>
  <si>
    <t xml:space="preserve">Risk factor</t>
  </si>
  <si>
    <t xml:space="preserve">Gong status</t>
  </si>
  <si>
    <t xml:space="preserve">Gong assessment</t>
  </si>
  <si>
    <t xml:space="preserve">Gong evidence</t>
  </si>
  <si>
    <t xml:space="preserve">Otter status</t>
  </si>
  <si>
    <t xml:space="preserve">Otter assessment</t>
  </si>
  <si>
    <t xml:space="preserve">Otter evidence</t>
  </si>
  <si>
    <t xml:space="preserve">AI governance</t>
  </si>
  <si>
    <t xml:space="preserve">A1</t>
  </si>
  <si>
    <t xml:space="preserve">Documented AI policy or AI management system; ISO/IEC 42001 certification and scope?</t>
  </si>
  <si>
    <t xml:space="preserve">All</t>
  </si>
  <si>
    <t xml:space="preserve">Documented</t>
  </si>
  <si>
    <t xml:space="preserve">ISO/IEC 42001:2023 certified; scope document gated in trust center.</t>
  </si>
  <si>
    <t xml:space="preserve">Not documented</t>
  </si>
  <si>
    <t xml:space="preserve">No AI management certification; security policies 'based on' ISO 27001/2 (not certified).</t>
  </si>
  <si>
    <t xml:space="preserve">A2</t>
  </si>
  <si>
    <t xml:space="preserve">Who is accountable for AI risk (named role or committee)?</t>
  </si>
  <si>
    <t xml:space="preserve">Partial</t>
  </si>
  <si>
    <t xml:space="preserve">Dedicated governance team mentioned; no named accountable role.</t>
  </si>
  <si>
    <t xml:space="preserve">A3</t>
  </si>
  <si>
    <t xml:space="preserve">AI risk or impact assessments before releasing new AI features?</t>
  </si>
  <si>
    <t xml:space="preserve">Covered in principle by ISO 42001 scope; process not public.</t>
  </si>
  <si>
    <t xml:space="preserve">Training data use</t>
  </si>
  <si>
    <t xml:space="preserve">B1</t>
  </si>
  <si>
    <t xml:space="preserve">Is customer content used to train or improve any AI models, yours or third parties'?</t>
  </si>
  <si>
    <t xml:space="preserve">1, 6</t>
  </si>
  <si>
    <t xml:space="preserve">States customer data is never used to train generative models. Non-generative models not addressed.</t>
  </si>
  <si>
    <t xml:space="preserve">Trains its own models on user data after proprietary de-identification.</t>
  </si>
  <si>
    <t xml:space="preserve">B2</t>
  </si>
  <si>
    <t xml:space="preserve">If yes: opt-in or opt-out, which plans, what de-identification?</t>
  </si>
  <si>
    <t xml:space="preserve">Nothing on non-generative model training.</t>
  </si>
  <si>
    <t xml:space="preserve">De-identification described generally; opt-out terms by plan not on privacy page.</t>
  </si>
  <si>
    <t xml:space="preserve">B3</t>
  </si>
  <si>
    <t xml:space="preserve">Contractual commitment not to train on customer content?</t>
  </si>
  <si>
    <t xml:space="preserve">Commitment is on a marketing page; contract language not reviewed.</t>
  </si>
  <si>
    <t xml:space="preserve">Public position is that training occurs.</t>
  </si>
  <si>
    <t xml:space="preserve">Data handling</t>
  </si>
  <si>
    <t xml:space="preserve">C1</t>
  </si>
  <si>
    <t xml:space="preserve">Retention periods for recordings, transcripts, summaries; customer-configurable?</t>
  </si>
  <si>
    <t xml:space="preserve">1, 4</t>
  </si>
  <si>
    <t xml:space="preserve">Default retention: lesser of 3 years or customer relationship; configurable. Default longer than needed.</t>
  </si>
  <si>
    <t xml:space="preserve">Deleted conversations purged from trash after 30 days; no default retention stated.</t>
  </si>
  <si>
    <t xml:space="preserve">C2</t>
  </si>
  <si>
    <t xml:space="preserve">Deletion on request and at contract termination; confirmation provided?</t>
  </si>
  <si>
    <t xml:space="preserve">Irreversible deletion 30 days after customer leaves; individual/bulk deletion. Confirmation not documented.</t>
  </si>
  <si>
    <t xml:space="preserve">User-driven deletion documented; deletion at termination not documented.</t>
  </si>
  <si>
    <t xml:space="preserve">C3</t>
  </si>
  <si>
    <t xml:space="preserve">Where is data stored and processed; EU region available?</t>
  </si>
  <si>
    <t xml:space="preserve">Subprocessors in USA/EU; AI services may use global endpoints.</t>
  </si>
  <si>
    <t xml:space="preserve">Subprocessors listed in the US; no EU region documented.</t>
  </si>
  <si>
    <t xml:space="preserve">C4</t>
  </si>
  <si>
    <t xml:space="preserve">Encryption in transit and at rest?</t>
  </si>
  <si>
    <t xml:space="preserve">Encryption and bring-your-own-key referenced; technical detail gated.</t>
  </si>
  <si>
    <t xml:space="preserve">AWS S3 server-side AES-256 encryption; regularly rotated root key.</t>
  </si>
  <si>
    <t xml:space="preserve">C5</t>
  </si>
  <si>
    <t xml:space="preserve">Notification timeframe for incidents affecting customer data, incl. AI-related?</t>
  </si>
  <si>
    <t xml:space="preserve">Fourth parties</t>
  </si>
  <si>
    <t xml:space="preserve">D1</t>
  </si>
  <si>
    <t xml:space="preserve">Subprocessor list including all AI model providers?</t>
  </si>
  <si>
    <t xml:space="preserve">6</t>
  </si>
  <si>
    <t xml:space="preserve">Public list; AWS, Google Cloud, Microsoft named for application AI functionality.</t>
  </si>
  <si>
    <t xml:space="preserve">Public list effective March 31, 2026.</t>
  </si>
  <si>
    <t xml:space="preserve">D2</t>
  </si>
  <si>
    <t xml:space="preserve">What call data goes to each AI provider; do they retain or train on it?</t>
  </si>
  <si>
    <t xml:space="preserve">Providers named, not what data each receives or their retention terms.</t>
  </si>
  <si>
    <t xml:space="preserve">AI providers named with roles; stated not to train on or store customer data sent via API.</t>
  </si>
  <si>
    <t xml:space="preserve">D3</t>
  </si>
  <si>
    <t xml:space="preserve">Advance notice of new subprocessors with right to object?</t>
  </si>
  <si>
    <t xml:space="preserve">Subscription to subprocessor changes available; right to object not verified.</t>
  </si>
  <si>
    <t xml:space="preserve">Will 'endeavor' to notify of new subprocessors to the extent required by agreement.</t>
  </si>
  <si>
    <t xml:space="preserve">D4</t>
  </si>
  <si>
    <t xml:space="preserve">Which cloud providers host data; how are their assurance reports reviewed?</t>
  </si>
  <si>
    <t xml:space="preserve">Cloud hosts named; TPRM program listed in trust center (gated).</t>
  </si>
  <si>
    <t xml:space="preserve">AWS, Google Cloud, Crusoe named; review approach not described.</t>
  </si>
  <si>
    <t xml:space="preserve">Model reliability &amp; change</t>
  </si>
  <si>
    <t xml:space="preserve">E1</t>
  </si>
  <si>
    <t xml:space="preserve">How is transcription and summary accuracy tested; known limitations documented?</t>
  </si>
  <si>
    <t xml:space="preserve">5, 6</t>
  </si>
  <si>
    <t xml:space="preserve">Third-party provider used to evaluate model effectiveness; accuracy testing not described.</t>
  </si>
  <si>
    <t xml:space="preserve">E2</t>
  </si>
  <si>
    <t xml:space="preserve">Can users review and edit summaries before sharing; is AI content labeled?</t>
  </si>
  <si>
    <t xml:space="preserve">'Human validation' referenced, not described.</t>
  </si>
  <si>
    <t xml:space="preserve">E3</t>
  </si>
  <si>
    <t xml:space="preserve">How are AI model changes (updates, provider switches) approved; are customers notified?</t>
  </si>
  <si>
    <t xml:space="preserve">Change Management Program document gated; AI model change notice not documented.</t>
  </si>
  <si>
    <t xml:space="preserve">Transparency &amp; consent</t>
  </si>
  <si>
    <t xml:space="preserve">F1</t>
  </si>
  <si>
    <t xml:space="preserve">How are participants, including external ones, notified of recording?</t>
  </si>
  <si>
    <t xml:space="preserve">2, 4</t>
  </si>
  <si>
    <t xml:space="preserve">Consent pages, automated notification when external participants join, pre-call email footers.</t>
  </si>
  <si>
    <t xml:space="preserve">Places responsibility on users to obtain consent and indicate recording.</t>
  </si>
  <si>
    <t xml:space="preserve">F2</t>
  </si>
  <si>
    <t xml:space="preserve">Can admins block auto-join for certain meetings or require host approval?</t>
  </si>
  <si>
    <t xml:space="preserve">Participants can join without recording; recording can be turned off for external calls.</t>
  </si>
  <si>
    <t xml:space="preserve">F3</t>
  </si>
  <si>
    <t xml:space="preserve">Are voiceprints or other biometric identifiers collected; how is consent obtained?</t>
  </si>
  <si>
    <t xml:space="preserve">Not addressed publicly; voiceprints alleged in litigation.</t>
  </si>
  <si>
    <t xml:space="preserve">Access &amp; AI security</t>
  </si>
  <si>
    <t xml:space="preserve">G1</t>
  </si>
  <si>
    <t xml:space="preserve">What calendar, email, and CRM permissions are requested; can they be limited?</t>
  </si>
  <si>
    <t xml:space="preserve">1, 2</t>
  </si>
  <si>
    <t xml:space="preserve">Google Calendar add-on: view events on all calendars; run when user not present.</t>
  </si>
  <si>
    <t xml:space="preserve">Calendar integrations share calendar information; scopes not reviewed.</t>
  </si>
  <si>
    <t xml:space="preserve">G2</t>
  </si>
  <si>
    <t xml:space="preserve">SSO, MFA, and role-based admin controls?</t>
  </si>
  <si>
    <t xml:space="preserve">MFA and least-privilege access referenced; SSO not confirmed in sources reviewed.</t>
  </si>
  <si>
    <t xml:space="preserve">2FA on all plans; enterprise login via directory-sync subprocessor.</t>
  </si>
  <si>
    <t xml:space="preserve">G3</t>
  </si>
  <si>
    <t xml:space="preserve">How is each customer's data kept separate during AI processing?</t>
  </si>
  <si>
    <t xml:space="preserve">G4</t>
  </si>
  <si>
    <t xml:space="preserve">Protections against AI features leaking content between users?</t>
  </si>
  <si>
    <t xml:space="preserve">Assurance &amp; regulatory</t>
  </si>
  <si>
    <t xml:space="preserve">H1</t>
  </si>
  <si>
    <t xml:space="preserve">Current SOC 2 Type II report: period, AI features in scope, exceptions?</t>
  </si>
  <si>
    <t xml:space="preserve">All, 4</t>
  </si>
  <si>
    <t xml:space="preserve">SOC 2 Type II scoped across Gong operations; report under NDA, exceptions unknown.</t>
  </si>
  <si>
    <t xml:space="preserve">SOC 2 Type 2 maintained with independent auditor; scope/exceptions unknown.</t>
  </si>
  <si>
    <t xml:space="preserve">H2</t>
  </si>
  <si>
    <t xml:space="preserve">Role and system classification under the EU AI Act?</t>
  </si>
  <si>
    <t xml:space="preserve">H3</t>
  </si>
  <si>
    <t xml:space="preserve">Pending lawsuits or regulatory actions related to recording, privacy, or AI?</t>
  </si>
  <si>
    <t xml:space="preserve">2023 federal docket (Cervantes v. Gong.io Ltd.) — claims not stated in listing; follow up. Gong-filed patent suit is not a customer risk.</t>
  </si>
  <si>
    <t xml:space="preserve">In re Otter.AI Privacy Litigation (N.D. Cal., 5:25-cv-06911): consolidated class action; core claims allowed to proceed Aug 2026 per secondary sources. Allegations only; Otter denies unlawful interception.</t>
  </si>
  <si>
    <t xml:space="preserve">Summary</t>
  </si>
  <si>
    <t xml:space="preserve">Measure</t>
  </si>
  <si>
    <t xml:space="preserve">Gong</t>
  </si>
  <si>
    <t xml:space="preserve">Otter.ai</t>
  </si>
  <si>
    <t xml:space="preserve">Status: Documented</t>
  </si>
  <si>
    <t xml:space="preserve">Status: Partial</t>
  </si>
  <si>
    <t xml:space="preserve">Status: Not documented</t>
  </si>
  <si>
    <t xml:space="preserve">Assessment: Favorable</t>
  </si>
  <si>
    <t xml:space="preserve">Assessment: Neutral</t>
  </si>
  <si>
    <t xml:space="preserve">Assessment: Unfavorable</t>
  </si>
  <si>
    <t xml:space="preserve">Assessment: Unknown</t>
  </si>
  <si>
    <t xml:space="preserve">Total questions</t>
  </si>
  <si>
    <t xml:space="preserve">Approve with conditions</t>
  </si>
  <si>
    <t xml:space="preserve">Escalate</t>
  </si>
  <si>
    <t xml:space="preserve">Follow-up questions to send each vendor</t>
  </si>
  <si>
    <t xml:space="preserve">Vendor</t>
  </si>
  <si>
    <t xml:space="preserve">Ref</t>
  </si>
  <si>
    <t xml:space="preserve">Follow-up</t>
  </si>
  <si>
    <t xml:space="preserve">B1/B3</t>
  </si>
  <si>
    <t xml:space="preserve">Does the no-training commitment cover non-generative models, and will you include it in the contract?</t>
  </si>
  <si>
    <t xml:space="preserve">For EU customers' calls, where does AI processing occur when global endpoints are used?</t>
  </si>
  <si>
    <t xml:space="preserve">Can calendar permissions be narrowed below 'view all calendars'?</t>
  </si>
  <si>
    <t xml:space="preserve">Provide the current SOC 2 Type II report, including any exceptions and whether AI features are in scope.</t>
  </si>
  <si>
    <t xml:space="preserve">What were the claims and outcome in Cervantes v. Gong.io Ltd. (2023)?</t>
  </si>
  <si>
    <t xml:space="preserve">Can training on customer content be disabled for enterprise accounts, and committed to contractually?</t>
  </si>
  <si>
    <t xml:space="preserve">What data does the annotation subprocessor receive? Does it ever include customer recordings or transcripts?</t>
  </si>
  <si>
    <t xml:space="preserve">F1/F3</t>
  </si>
  <si>
    <t xml:space="preserve">What admin controls enforce all-party consent, and are voiceprints created?</t>
  </si>
  <si>
    <t xml:space="preserve">Is EU data residency available?</t>
  </si>
  <si>
    <t xml:space="preserve">Do you plan ISO/IEC 42001 or ISO 27001 certification?</t>
  </si>
  <si>
    <t xml:space="preserve">Sources (accessed September 2026)</t>
  </si>
  <si>
    <t xml:space="preserve">Source</t>
  </si>
  <si>
    <t xml:space="preserve">URL</t>
  </si>
  <si>
    <t xml:space="preserve">Trust and Security page</t>
  </si>
  <si>
    <t xml:space="preserve">https://www.gong.io/platform/trust</t>
  </si>
  <si>
    <t xml:space="preserve">Compliance certifications (help center)</t>
  </si>
  <si>
    <t xml:space="preserve">https://help.gong.io/docs/review-gong-compliance-certifications-and-attestations</t>
  </si>
  <si>
    <t xml:space="preserve">Sub-processors</t>
  </si>
  <si>
    <t xml:space="preserve">https://www.gong.io/legal/sub-processors</t>
  </si>
  <si>
    <t xml:space="preserve">Data retention policy</t>
  </si>
  <si>
    <t xml:space="preserve">https://help.gong.io/docs/data-retention-policy</t>
  </si>
  <si>
    <t xml:space="preserve">Recording consent FAQ</t>
  </si>
  <si>
    <t xml:space="preserve">https://help.gong.io/docs/faqs-for-recording-consent</t>
  </si>
  <si>
    <t xml:space="preserve">Sales call recording blog</t>
  </si>
  <si>
    <t xml:space="preserve">https://www.gong.io/blog/sales-call-recording-laws</t>
  </si>
  <si>
    <t xml:space="preserve">Security best practices blog</t>
  </si>
  <si>
    <t xml:space="preserve">https://www.gong.io/blog/security-best-practices-for-the-gong-revenue-ai-os</t>
  </si>
  <si>
    <t xml:space="preserve">Google Workspace Marketplace listing (permissions)</t>
  </si>
  <si>
    <t xml:space="preserve">https://workspace.google.com/marketplace/app/gong_for_google_calendar/779001639133</t>
  </si>
  <si>
    <t xml:space="preserve">Court docket: Cervantes v. Gong.io Ltd.</t>
  </si>
  <si>
    <t xml:space="preserve">https://dockets.justia.com/docket/california/candce/4:2023cv02496/412998</t>
  </si>
  <si>
    <t xml:space="preserve">Privacy &amp; Security page</t>
  </si>
  <si>
    <t xml:space="preserve">https://otter.ai/privacy-security</t>
  </si>
  <si>
    <t xml:space="preserve">Subprocessors</t>
  </si>
  <si>
    <t xml:space="preserve">https://otter.ai/subprocessors</t>
  </si>
  <si>
    <t xml:space="preserve">Court opinion excerpt (FindLaw)</t>
  </si>
  <si>
    <t xml:space="preserve">https://caselaw.findlaw.com/court/us-dis-crt-n-d-cal/322025.html</t>
  </si>
  <si>
    <t xml:space="preserve">Docket (CourtListener)</t>
  </si>
  <si>
    <t xml:space="preserve">https://www.courtlistener.com/docket/71118721/brewer-v-otterai-inc/</t>
  </si>
  <si>
    <t xml:space="preserve">Litigation analysis (ZwillGen, secondary)</t>
  </si>
  <si>
    <t xml:space="preserve">https://www.zwillgen.com/litigation/first-major-ai-meeting-assistant-lawsuit-practical-lessons-otter-ai-litigation/</t>
  </si>
  <si>
    <t xml:space="preserve">Litigation status (Recording Law, secondary)</t>
  </si>
  <si>
    <t xml:space="preserve">https://www.recordinglaw.com/news/otter-ai-wiretap-lawsuit-explained/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</si>
</sst>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26.85" hidden="false" customHeight="false" outlineLevel="0" collapsed="false">
      <c r="A13" s="2" t="s">
        <v>21</v>
      </c>
      <c r="B13" s="3" t="s">
        <v>22</v>
      </c>
    </row>
    <row r="15" customFormat="false" ht="15" hidden="false" customHeight="false" outlineLevel="0" collapsed="false">
      <c r="A15" s="4" t="s">
        <v>23</v>
      </c>
    </row>
    <row r="16" customFormat="false" ht="15" hidden="false" customHeight="false" outlineLevel="0" collapsed="false">
      <c r="A16" s="5" t="s">
        <v>24</v>
      </c>
    </row>
    <row r="17" customFormat="false" ht="15" hidden="false" customHeight="false" outlineLevel="0" collapsed="false">
      <c r="A17" s="6" t="s">
        <v>25</v>
      </c>
    </row>
    <row r="18" customFormat="false" ht="15" hidden="false" customHeight="false" outlineLevel="0" collapsed="false">
      <c r="A18" s="7" t="s">
        <v>26</v>
      </c>
    </row>
    <row r="19" customFormat="false" ht="15" hidden="false" customHeight="false" outlineLevel="0" collapsed="false">
      <c r="A19" s="8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9" t="s">
        <v>29</v>
      </c>
      <c r="B3" s="9" t="s">
        <v>30</v>
      </c>
      <c r="C3" s="9" t="s">
        <v>31</v>
      </c>
    </row>
    <row r="4" customFormat="false" ht="26.85" hidden="false" customHeight="false" outlineLevel="0" collapsed="false">
      <c r="A4" s="2" t="s">
        <v>32</v>
      </c>
      <c r="B4" s="6" t="s">
        <v>33</v>
      </c>
      <c r="C4" s="3" t="s">
        <v>34</v>
      </c>
    </row>
    <row r="5" customFormat="false" ht="26.85" hidden="false" customHeight="false" outlineLevel="0" collapsed="false">
      <c r="A5" s="2" t="s">
        <v>35</v>
      </c>
      <c r="B5" s="6" t="s">
        <v>33</v>
      </c>
      <c r="C5" s="3" t="s">
        <v>36</v>
      </c>
    </row>
    <row r="6" customFormat="false" ht="26.85" hidden="false" customHeight="false" outlineLevel="0" collapsed="false">
      <c r="A6" s="2" t="s">
        <v>37</v>
      </c>
      <c r="B6" s="5" t="s">
        <v>38</v>
      </c>
      <c r="C6" s="3" t="s">
        <v>39</v>
      </c>
    </row>
    <row r="7" customFormat="false" ht="26.85" hidden="false" customHeight="false" outlineLevel="0" collapsed="false">
      <c r="A7" s="2" t="s">
        <v>40</v>
      </c>
      <c r="B7" s="6" t="s">
        <v>33</v>
      </c>
      <c r="C7" s="3" t="s">
        <v>41</v>
      </c>
    </row>
    <row r="8" customFormat="false" ht="26.85" hidden="false" customHeight="false" outlineLevel="0" collapsed="false">
      <c r="A8" s="2" t="s">
        <v>42</v>
      </c>
      <c r="B8" s="7" t="s">
        <v>43</v>
      </c>
      <c r="C8" s="3" t="s">
        <v>44</v>
      </c>
    </row>
    <row r="9" customFormat="false" ht="15" hidden="false" customHeight="false" outlineLevel="0" collapsed="false">
      <c r="A9" s="2" t="s">
        <v>45</v>
      </c>
      <c r="B9" s="6" t="s">
        <v>33</v>
      </c>
      <c r="C9" s="3" t="s">
        <v>46</v>
      </c>
    </row>
    <row r="11" customFormat="false" ht="26.85" hidden="false" customHeight="false" outlineLevel="0" collapsed="false">
      <c r="A11" s="2" t="s">
        <v>47</v>
      </c>
      <c r="B11" s="3" t="n">
        <f aca="false">COUNTIF(B4:B9,"High")</f>
        <v>4</v>
      </c>
    </row>
    <row r="12" customFormat="false" ht="15" hidden="false" customHeight="false" outlineLevel="0" collapsed="false">
      <c r="A12" s="2" t="s">
        <v>9</v>
      </c>
      <c r="B12" s="3" t="str">
        <f aca="false">IF(COUNTIF(B4:B9,"High")&gt;0,"Tier 1","Tier 2")</f>
        <v>Tier 1</v>
      </c>
    </row>
    <row r="13" customFormat="false" ht="15" hidden="false" customHeight="false" outlineLevel="0" collapsed="false">
      <c r="A13" s="2" t="s">
        <v>48</v>
      </c>
      <c r="C13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48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50</v>
      </c>
    </row>
    <row r="3" customFormat="false" ht="26.85" hidden="false" customHeight="false" outlineLevel="0" collapsed="false">
      <c r="A3" s="9" t="s">
        <v>51</v>
      </c>
      <c r="B3" s="9" t="s">
        <v>52</v>
      </c>
      <c r="C3" s="9" t="s">
        <v>53</v>
      </c>
      <c r="D3" s="9" t="s">
        <v>54</v>
      </c>
      <c r="E3" s="9" t="s">
        <v>55</v>
      </c>
      <c r="F3" s="9" t="s">
        <v>56</v>
      </c>
      <c r="G3" s="9" t="s">
        <v>57</v>
      </c>
      <c r="H3" s="9" t="s">
        <v>58</v>
      </c>
      <c r="I3" s="9" t="s">
        <v>59</v>
      </c>
      <c r="J3" s="9" t="s">
        <v>60</v>
      </c>
    </row>
    <row r="4" customFormat="false" ht="39.55" hidden="false" customHeight="false" outlineLevel="0" collapsed="false">
      <c r="A4" s="3" t="s">
        <v>61</v>
      </c>
      <c r="B4" s="2" t="s">
        <v>62</v>
      </c>
      <c r="C4" s="3" t="s">
        <v>63</v>
      </c>
      <c r="D4" s="3" t="s">
        <v>64</v>
      </c>
      <c r="E4" s="3" t="s">
        <v>65</v>
      </c>
      <c r="F4" s="5" t="s">
        <v>24</v>
      </c>
      <c r="G4" s="3" t="s">
        <v>66</v>
      </c>
      <c r="H4" s="3" t="s">
        <v>67</v>
      </c>
      <c r="I4" s="6" t="s">
        <v>25</v>
      </c>
      <c r="J4" s="3" t="s">
        <v>68</v>
      </c>
    </row>
    <row r="5" customFormat="false" ht="26.85" hidden="false" customHeight="false" outlineLevel="0" collapsed="false">
      <c r="A5" s="3" t="s">
        <v>61</v>
      </c>
      <c r="B5" s="2" t="s">
        <v>69</v>
      </c>
      <c r="C5" s="3" t="s">
        <v>70</v>
      </c>
      <c r="D5" s="3" t="s">
        <v>64</v>
      </c>
      <c r="E5" s="3" t="s">
        <v>71</v>
      </c>
      <c r="F5" s="7" t="s">
        <v>26</v>
      </c>
      <c r="G5" s="3" t="s">
        <v>72</v>
      </c>
      <c r="H5" s="3" t="s">
        <v>67</v>
      </c>
      <c r="I5" s="8" t="s">
        <v>27</v>
      </c>
      <c r="J5" s="3"/>
    </row>
    <row r="6" customFormat="false" ht="26.85" hidden="false" customHeight="false" outlineLevel="0" collapsed="false">
      <c r="A6" s="3" t="s">
        <v>61</v>
      </c>
      <c r="B6" s="2" t="s">
        <v>73</v>
      </c>
      <c r="C6" s="3" t="s">
        <v>74</v>
      </c>
      <c r="D6" s="3" t="s">
        <v>64</v>
      </c>
      <c r="E6" s="3" t="s">
        <v>71</v>
      </c>
      <c r="F6" s="7" t="s">
        <v>26</v>
      </c>
      <c r="G6" s="3" t="s">
        <v>75</v>
      </c>
      <c r="H6" s="3" t="s">
        <v>67</v>
      </c>
      <c r="I6" s="8" t="s">
        <v>27</v>
      </c>
      <c r="J6" s="3"/>
    </row>
    <row r="7" customFormat="false" ht="39.55" hidden="false" customHeight="false" outlineLevel="0" collapsed="false">
      <c r="A7" s="3" t="s">
        <v>76</v>
      </c>
      <c r="B7" s="2" t="s">
        <v>77</v>
      </c>
      <c r="C7" s="3" t="s">
        <v>78</v>
      </c>
      <c r="D7" s="3" t="s">
        <v>79</v>
      </c>
      <c r="E7" s="3" t="s">
        <v>71</v>
      </c>
      <c r="F7" s="5" t="s">
        <v>24</v>
      </c>
      <c r="G7" s="3" t="s">
        <v>80</v>
      </c>
      <c r="H7" s="3" t="s">
        <v>65</v>
      </c>
      <c r="I7" s="6" t="s">
        <v>25</v>
      </c>
      <c r="J7" s="3" t="s">
        <v>81</v>
      </c>
    </row>
    <row r="8" customFormat="false" ht="26.85" hidden="false" customHeight="false" outlineLevel="0" collapsed="false">
      <c r="A8" s="3" t="s">
        <v>76</v>
      </c>
      <c r="B8" s="2" t="s">
        <v>82</v>
      </c>
      <c r="C8" s="3" t="s">
        <v>83</v>
      </c>
      <c r="D8" s="3" t="s">
        <v>79</v>
      </c>
      <c r="E8" s="3" t="s">
        <v>67</v>
      </c>
      <c r="F8" s="8" t="s">
        <v>27</v>
      </c>
      <c r="G8" s="3" t="s">
        <v>84</v>
      </c>
      <c r="H8" s="3" t="s">
        <v>71</v>
      </c>
      <c r="I8" s="7" t="s">
        <v>26</v>
      </c>
      <c r="J8" s="3" t="s">
        <v>85</v>
      </c>
    </row>
    <row r="9" customFormat="false" ht="26.85" hidden="false" customHeight="false" outlineLevel="0" collapsed="false">
      <c r="A9" s="3" t="s">
        <v>76</v>
      </c>
      <c r="B9" s="2" t="s">
        <v>86</v>
      </c>
      <c r="C9" s="3" t="s">
        <v>87</v>
      </c>
      <c r="D9" s="3" t="s">
        <v>79</v>
      </c>
      <c r="E9" s="3" t="s">
        <v>67</v>
      </c>
      <c r="F9" s="8" t="s">
        <v>27</v>
      </c>
      <c r="G9" s="3" t="s">
        <v>88</v>
      </c>
      <c r="H9" s="3" t="s">
        <v>67</v>
      </c>
      <c r="I9" s="6" t="s">
        <v>25</v>
      </c>
      <c r="J9" s="3" t="s">
        <v>89</v>
      </c>
    </row>
    <row r="10" customFormat="false" ht="39.55" hidden="false" customHeight="false" outlineLevel="0" collapsed="false">
      <c r="A10" s="3" t="s">
        <v>90</v>
      </c>
      <c r="B10" s="2" t="s">
        <v>91</v>
      </c>
      <c r="C10" s="3" t="s">
        <v>92</v>
      </c>
      <c r="D10" s="3" t="s">
        <v>93</v>
      </c>
      <c r="E10" s="3" t="s">
        <v>65</v>
      </c>
      <c r="F10" s="7" t="s">
        <v>26</v>
      </c>
      <c r="G10" s="3" t="s">
        <v>94</v>
      </c>
      <c r="H10" s="3" t="s">
        <v>71</v>
      </c>
      <c r="I10" s="7" t="s">
        <v>26</v>
      </c>
      <c r="J10" s="3" t="s">
        <v>95</v>
      </c>
    </row>
    <row r="11" customFormat="false" ht="39.55" hidden="false" customHeight="false" outlineLevel="0" collapsed="false">
      <c r="A11" s="3" t="s">
        <v>90</v>
      </c>
      <c r="B11" s="2" t="s">
        <v>96</v>
      </c>
      <c r="C11" s="3" t="s">
        <v>97</v>
      </c>
      <c r="D11" s="3" t="s">
        <v>93</v>
      </c>
      <c r="E11" s="3" t="s">
        <v>71</v>
      </c>
      <c r="F11" s="5" t="s">
        <v>24</v>
      </c>
      <c r="G11" s="3" t="s">
        <v>98</v>
      </c>
      <c r="H11" s="3" t="s">
        <v>71</v>
      </c>
      <c r="I11" s="7" t="s">
        <v>26</v>
      </c>
      <c r="J11" s="3" t="s">
        <v>99</v>
      </c>
    </row>
    <row r="12" customFormat="false" ht="26.85" hidden="false" customHeight="false" outlineLevel="0" collapsed="false">
      <c r="A12" s="3" t="s">
        <v>90</v>
      </c>
      <c r="B12" s="2" t="s">
        <v>100</v>
      </c>
      <c r="C12" s="3" t="s">
        <v>101</v>
      </c>
      <c r="D12" s="3" t="s">
        <v>93</v>
      </c>
      <c r="E12" s="3" t="s">
        <v>71</v>
      </c>
      <c r="F12" s="7" t="s">
        <v>26</v>
      </c>
      <c r="G12" s="3" t="s">
        <v>102</v>
      </c>
      <c r="H12" s="3" t="s">
        <v>71</v>
      </c>
      <c r="I12" s="6" t="s">
        <v>25</v>
      </c>
      <c r="J12" s="3" t="s">
        <v>103</v>
      </c>
    </row>
    <row r="13" customFormat="false" ht="26.85" hidden="false" customHeight="false" outlineLevel="0" collapsed="false">
      <c r="A13" s="3" t="s">
        <v>90</v>
      </c>
      <c r="B13" s="2" t="s">
        <v>104</v>
      </c>
      <c r="C13" s="3" t="s">
        <v>105</v>
      </c>
      <c r="D13" s="3" t="s">
        <v>93</v>
      </c>
      <c r="E13" s="3" t="s">
        <v>71</v>
      </c>
      <c r="F13" s="5" t="s">
        <v>24</v>
      </c>
      <c r="G13" s="3" t="s">
        <v>106</v>
      </c>
      <c r="H13" s="3" t="s">
        <v>65</v>
      </c>
      <c r="I13" s="5" t="s">
        <v>24</v>
      </c>
      <c r="J13" s="3" t="s">
        <v>107</v>
      </c>
    </row>
    <row r="14" customFormat="false" ht="26.85" hidden="false" customHeight="false" outlineLevel="0" collapsed="false">
      <c r="A14" s="3" t="s">
        <v>90</v>
      </c>
      <c r="B14" s="2" t="s">
        <v>108</v>
      </c>
      <c r="C14" s="3" t="s">
        <v>109</v>
      </c>
      <c r="D14" s="3" t="s">
        <v>93</v>
      </c>
      <c r="E14" s="3" t="s">
        <v>67</v>
      </c>
      <c r="F14" s="8" t="s">
        <v>27</v>
      </c>
      <c r="G14" s="3"/>
      <c r="H14" s="3" t="s">
        <v>67</v>
      </c>
      <c r="I14" s="8" t="s">
        <v>27</v>
      </c>
      <c r="J14" s="3"/>
    </row>
    <row r="15" customFormat="false" ht="26.85" hidden="false" customHeight="false" outlineLevel="0" collapsed="false">
      <c r="A15" s="3" t="s">
        <v>110</v>
      </c>
      <c r="B15" s="2" t="s">
        <v>111</v>
      </c>
      <c r="C15" s="3" t="s">
        <v>112</v>
      </c>
      <c r="D15" s="3" t="s">
        <v>113</v>
      </c>
      <c r="E15" s="3" t="s">
        <v>65</v>
      </c>
      <c r="F15" s="5" t="s">
        <v>24</v>
      </c>
      <c r="G15" s="3" t="s">
        <v>114</v>
      </c>
      <c r="H15" s="3" t="s">
        <v>65</v>
      </c>
      <c r="I15" s="5" t="s">
        <v>24</v>
      </c>
      <c r="J15" s="3" t="s">
        <v>115</v>
      </c>
    </row>
    <row r="16" customFormat="false" ht="39.55" hidden="false" customHeight="false" outlineLevel="0" collapsed="false">
      <c r="A16" s="3" t="s">
        <v>110</v>
      </c>
      <c r="B16" s="2" t="s">
        <v>116</v>
      </c>
      <c r="C16" s="3" t="s">
        <v>117</v>
      </c>
      <c r="D16" s="3" t="s">
        <v>113</v>
      </c>
      <c r="E16" s="3" t="s">
        <v>71</v>
      </c>
      <c r="F16" s="7" t="s">
        <v>26</v>
      </c>
      <c r="G16" s="3" t="s">
        <v>118</v>
      </c>
      <c r="H16" s="3" t="s">
        <v>65</v>
      </c>
      <c r="I16" s="5" t="s">
        <v>24</v>
      </c>
      <c r="J16" s="3" t="s">
        <v>119</v>
      </c>
    </row>
    <row r="17" customFormat="false" ht="39.55" hidden="false" customHeight="false" outlineLevel="0" collapsed="false">
      <c r="A17" s="3" t="s">
        <v>110</v>
      </c>
      <c r="B17" s="2" t="s">
        <v>120</v>
      </c>
      <c r="C17" s="3" t="s">
        <v>121</v>
      </c>
      <c r="D17" s="3" t="s">
        <v>113</v>
      </c>
      <c r="E17" s="3" t="s">
        <v>71</v>
      </c>
      <c r="F17" s="5" t="s">
        <v>24</v>
      </c>
      <c r="G17" s="3" t="s">
        <v>122</v>
      </c>
      <c r="H17" s="3" t="s">
        <v>71</v>
      </c>
      <c r="I17" s="7" t="s">
        <v>26</v>
      </c>
      <c r="J17" s="3" t="s">
        <v>123</v>
      </c>
    </row>
    <row r="18" customFormat="false" ht="26.85" hidden="false" customHeight="false" outlineLevel="0" collapsed="false">
      <c r="A18" s="3" t="s">
        <v>110</v>
      </c>
      <c r="B18" s="2" t="s">
        <v>124</v>
      </c>
      <c r="C18" s="3" t="s">
        <v>125</v>
      </c>
      <c r="D18" s="3" t="s">
        <v>113</v>
      </c>
      <c r="E18" s="3" t="s">
        <v>71</v>
      </c>
      <c r="F18" s="7" t="s">
        <v>26</v>
      </c>
      <c r="G18" s="3" t="s">
        <v>126</v>
      </c>
      <c r="H18" s="3" t="s">
        <v>71</v>
      </c>
      <c r="I18" s="7" t="s">
        <v>26</v>
      </c>
      <c r="J18" s="3" t="s">
        <v>127</v>
      </c>
    </row>
    <row r="19" customFormat="false" ht="39.55" hidden="false" customHeight="false" outlineLevel="0" collapsed="false">
      <c r="A19" s="3" t="s">
        <v>128</v>
      </c>
      <c r="B19" s="2" t="s">
        <v>129</v>
      </c>
      <c r="C19" s="3" t="s">
        <v>130</v>
      </c>
      <c r="D19" s="3" t="s">
        <v>131</v>
      </c>
      <c r="E19" s="3" t="s">
        <v>67</v>
      </c>
      <c r="F19" s="8" t="s">
        <v>27</v>
      </c>
      <c r="G19" s="3"/>
      <c r="H19" s="3" t="s">
        <v>71</v>
      </c>
      <c r="I19" s="7" t="s">
        <v>26</v>
      </c>
      <c r="J19" s="3" t="s">
        <v>132</v>
      </c>
    </row>
    <row r="20" customFormat="false" ht="26.85" hidden="false" customHeight="false" outlineLevel="0" collapsed="false">
      <c r="A20" s="3" t="s">
        <v>128</v>
      </c>
      <c r="B20" s="2" t="s">
        <v>133</v>
      </c>
      <c r="C20" s="3" t="s">
        <v>134</v>
      </c>
      <c r="D20" s="3" t="s">
        <v>131</v>
      </c>
      <c r="E20" s="3" t="s">
        <v>71</v>
      </c>
      <c r="F20" s="7" t="s">
        <v>26</v>
      </c>
      <c r="G20" s="3" t="s">
        <v>135</v>
      </c>
      <c r="H20" s="3" t="s">
        <v>67</v>
      </c>
      <c r="I20" s="8" t="s">
        <v>27</v>
      </c>
      <c r="J20" s="3"/>
    </row>
    <row r="21" customFormat="false" ht="39.55" hidden="false" customHeight="false" outlineLevel="0" collapsed="false">
      <c r="A21" s="3" t="s">
        <v>128</v>
      </c>
      <c r="B21" s="2" t="s">
        <v>136</v>
      </c>
      <c r="C21" s="3" t="s">
        <v>137</v>
      </c>
      <c r="D21" s="3" t="s">
        <v>131</v>
      </c>
      <c r="E21" s="3" t="s">
        <v>71</v>
      </c>
      <c r="F21" s="7" t="s">
        <v>26</v>
      </c>
      <c r="G21" s="3" t="s">
        <v>138</v>
      </c>
      <c r="H21" s="3" t="s">
        <v>67</v>
      </c>
      <c r="I21" s="8" t="s">
        <v>27</v>
      </c>
      <c r="J21" s="3"/>
    </row>
    <row r="22" customFormat="false" ht="39.55" hidden="false" customHeight="false" outlineLevel="0" collapsed="false">
      <c r="A22" s="3" t="s">
        <v>139</v>
      </c>
      <c r="B22" s="2" t="s">
        <v>140</v>
      </c>
      <c r="C22" s="3" t="s">
        <v>141</v>
      </c>
      <c r="D22" s="3" t="s">
        <v>142</v>
      </c>
      <c r="E22" s="3" t="s">
        <v>65</v>
      </c>
      <c r="F22" s="5" t="s">
        <v>24</v>
      </c>
      <c r="G22" s="3" t="s">
        <v>143</v>
      </c>
      <c r="H22" s="3" t="s">
        <v>71</v>
      </c>
      <c r="I22" s="6" t="s">
        <v>25</v>
      </c>
      <c r="J22" s="3" t="s">
        <v>144</v>
      </c>
    </row>
    <row r="23" customFormat="false" ht="39.55" hidden="false" customHeight="false" outlineLevel="0" collapsed="false">
      <c r="A23" s="3" t="s">
        <v>139</v>
      </c>
      <c r="B23" s="2" t="s">
        <v>145</v>
      </c>
      <c r="C23" s="3" t="s">
        <v>146</v>
      </c>
      <c r="D23" s="3" t="s">
        <v>142</v>
      </c>
      <c r="E23" s="3" t="s">
        <v>65</v>
      </c>
      <c r="F23" s="5" t="s">
        <v>24</v>
      </c>
      <c r="G23" s="3" t="s">
        <v>147</v>
      </c>
      <c r="H23" s="3" t="s">
        <v>67</v>
      </c>
      <c r="I23" s="8" t="s">
        <v>27</v>
      </c>
      <c r="J23" s="3"/>
    </row>
    <row r="24" customFormat="false" ht="26.85" hidden="false" customHeight="false" outlineLevel="0" collapsed="false">
      <c r="A24" s="3" t="s">
        <v>139</v>
      </c>
      <c r="B24" s="2" t="s">
        <v>148</v>
      </c>
      <c r="C24" s="3" t="s">
        <v>149</v>
      </c>
      <c r="D24" s="3" t="s">
        <v>142</v>
      </c>
      <c r="E24" s="3" t="s">
        <v>67</v>
      </c>
      <c r="F24" s="8" t="s">
        <v>27</v>
      </c>
      <c r="G24" s="3"/>
      <c r="H24" s="3" t="s">
        <v>67</v>
      </c>
      <c r="I24" s="8" t="s">
        <v>27</v>
      </c>
      <c r="J24" s="3" t="s">
        <v>150</v>
      </c>
    </row>
    <row r="25" customFormat="false" ht="26.85" hidden="false" customHeight="false" outlineLevel="0" collapsed="false">
      <c r="A25" s="3" t="s">
        <v>151</v>
      </c>
      <c r="B25" s="2" t="s">
        <v>152</v>
      </c>
      <c r="C25" s="3" t="s">
        <v>153</v>
      </c>
      <c r="D25" s="3" t="s">
        <v>154</v>
      </c>
      <c r="E25" s="3" t="s">
        <v>65</v>
      </c>
      <c r="F25" s="6" t="s">
        <v>25</v>
      </c>
      <c r="G25" s="3" t="s">
        <v>155</v>
      </c>
      <c r="H25" s="3" t="s">
        <v>71</v>
      </c>
      <c r="I25" s="7" t="s">
        <v>26</v>
      </c>
      <c r="J25" s="3" t="s">
        <v>156</v>
      </c>
    </row>
    <row r="26" customFormat="false" ht="39.55" hidden="false" customHeight="false" outlineLevel="0" collapsed="false">
      <c r="A26" s="3" t="s">
        <v>151</v>
      </c>
      <c r="B26" s="2" t="s">
        <v>157</v>
      </c>
      <c r="C26" s="3" t="s">
        <v>158</v>
      </c>
      <c r="D26" s="3" t="s">
        <v>154</v>
      </c>
      <c r="E26" s="3" t="s">
        <v>71</v>
      </c>
      <c r="F26" s="5" t="s">
        <v>24</v>
      </c>
      <c r="G26" s="3" t="s">
        <v>159</v>
      </c>
      <c r="H26" s="3" t="s">
        <v>71</v>
      </c>
      <c r="I26" s="5" t="s">
        <v>24</v>
      </c>
      <c r="J26" s="3" t="s">
        <v>160</v>
      </c>
    </row>
    <row r="27" customFormat="false" ht="26.85" hidden="false" customHeight="false" outlineLevel="0" collapsed="false">
      <c r="A27" s="3" t="s">
        <v>151</v>
      </c>
      <c r="B27" s="2" t="s">
        <v>161</v>
      </c>
      <c r="C27" s="3" t="s">
        <v>162</v>
      </c>
      <c r="D27" s="3" t="s">
        <v>154</v>
      </c>
      <c r="E27" s="3" t="s">
        <v>67</v>
      </c>
      <c r="F27" s="8" t="s">
        <v>27</v>
      </c>
      <c r="G27" s="3"/>
      <c r="H27" s="3" t="s">
        <v>67</v>
      </c>
      <c r="I27" s="8" t="s">
        <v>27</v>
      </c>
      <c r="J27" s="3"/>
    </row>
    <row r="28" customFormat="false" ht="26.85" hidden="false" customHeight="false" outlineLevel="0" collapsed="false">
      <c r="A28" s="3" t="s">
        <v>151</v>
      </c>
      <c r="B28" s="2" t="s">
        <v>163</v>
      </c>
      <c r="C28" s="3" t="s">
        <v>164</v>
      </c>
      <c r="D28" s="3" t="s">
        <v>154</v>
      </c>
      <c r="E28" s="3" t="s">
        <v>67</v>
      </c>
      <c r="F28" s="8" t="s">
        <v>27</v>
      </c>
      <c r="G28" s="3"/>
      <c r="H28" s="3" t="s">
        <v>67</v>
      </c>
      <c r="I28" s="8" t="s">
        <v>27</v>
      </c>
      <c r="J28" s="3"/>
    </row>
    <row r="29" customFormat="false" ht="39.55" hidden="false" customHeight="false" outlineLevel="0" collapsed="false">
      <c r="A29" s="3" t="s">
        <v>165</v>
      </c>
      <c r="B29" s="2" t="s">
        <v>166</v>
      </c>
      <c r="C29" s="3" t="s">
        <v>167</v>
      </c>
      <c r="D29" s="3" t="s">
        <v>168</v>
      </c>
      <c r="E29" s="3" t="s">
        <v>71</v>
      </c>
      <c r="F29" s="5" t="s">
        <v>24</v>
      </c>
      <c r="G29" s="3" t="s">
        <v>169</v>
      </c>
      <c r="H29" s="3" t="s">
        <v>71</v>
      </c>
      <c r="I29" s="5" t="s">
        <v>24</v>
      </c>
      <c r="J29" s="3" t="s">
        <v>170</v>
      </c>
    </row>
    <row r="30" customFormat="false" ht="26.85" hidden="false" customHeight="false" outlineLevel="0" collapsed="false">
      <c r="A30" s="3" t="s">
        <v>165</v>
      </c>
      <c r="B30" s="2" t="s">
        <v>171</v>
      </c>
      <c r="C30" s="3" t="s">
        <v>172</v>
      </c>
      <c r="D30" s="3" t="s">
        <v>168</v>
      </c>
      <c r="E30" s="3" t="s">
        <v>67</v>
      </c>
      <c r="F30" s="8" t="s">
        <v>27</v>
      </c>
      <c r="G30" s="3"/>
      <c r="H30" s="3" t="s">
        <v>67</v>
      </c>
      <c r="I30" s="8" t="s">
        <v>27</v>
      </c>
      <c r="J30" s="3"/>
    </row>
    <row r="31" customFormat="false" ht="64.9" hidden="false" customHeight="false" outlineLevel="0" collapsed="false">
      <c r="A31" s="3" t="s">
        <v>165</v>
      </c>
      <c r="B31" s="2" t="s">
        <v>173</v>
      </c>
      <c r="C31" s="3" t="s">
        <v>174</v>
      </c>
      <c r="D31" s="3" t="s">
        <v>168</v>
      </c>
      <c r="E31" s="3" t="s">
        <v>71</v>
      </c>
      <c r="F31" s="7" t="s">
        <v>26</v>
      </c>
      <c r="G31" s="3" t="s">
        <v>175</v>
      </c>
      <c r="H31" s="3" t="s">
        <v>65</v>
      </c>
      <c r="I31" s="6" t="s">
        <v>25</v>
      </c>
      <c r="J31" s="3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177</v>
      </c>
    </row>
    <row r="3" customFormat="false" ht="15" hidden="false" customHeight="false" outlineLevel="0" collapsed="false">
      <c r="A3" s="9" t="s">
        <v>178</v>
      </c>
      <c r="B3" s="9" t="s">
        <v>179</v>
      </c>
      <c r="C3" s="9" t="s">
        <v>180</v>
      </c>
    </row>
    <row r="4" customFormat="false" ht="15" hidden="false" customHeight="false" outlineLevel="0" collapsed="false">
      <c r="A4" s="3" t="s">
        <v>181</v>
      </c>
      <c r="B4" s="3" t="n">
        <f aca="false">COUNTIF(Assessment!E4:E31,"Documented")</f>
        <v>6</v>
      </c>
      <c r="C4" s="3" t="n">
        <f aca="false">COUNTIF(Assessment!H4:H31,"Documented")</f>
        <v>5</v>
      </c>
    </row>
    <row r="5" customFormat="false" ht="15" hidden="false" customHeight="false" outlineLevel="0" collapsed="false">
      <c r="A5" s="3" t="s">
        <v>182</v>
      </c>
      <c r="B5" s="3" t="n">
        <f aca="false">COUNTIF(Assessment!E4:E31,"Partial")</f>
        <v>14</v>
      </c>
      <c r="C5" s="3" t="n">
        <f aca="false">COUNTIF(Assessment!H4:H31,"Partial")</f>
        <v>11</v>
      </c>
    </row>
    <row r="6" customFormat="false" ht="15" hidden="false" customHeight="false" outlineLevel="0" collapsed="false">
      <c r="A6" s="3" t="s">
        <v>183</v>
      </c>
      <c r="B6" s="3" t="n">
        <f aca="false">COUNTIF(Assessment!E4:E31,"Not documented")</f>
        <v>8</v>
      </c>
      <c r="C6" s="3" t="n">
        <f aca="false">COUNTIF(Assessment!H4:H31,"Not documented")</f>
        <v>12</v>
      </c>
    </row>
    <row r="7" customFormat="false" ht="15" hidden="false" customHeight="false" outlineLevel="0" collapsed="false">
      <c r="A7" s="5" t="s">
        <v>184</v>
      </c>
      <c r="B7" s="3" t="n">
        <f aca="false">COUNTIF(Assessment!F4:F31,"Favorable")</f>
        <v>10</v>
      </c>
      <c r="C7" s="3" t="n">
        <f aca="false">COUNTIF(Assessment!I4:I31,"Favorable")</f>
        <v>5</v>
      </c>
    </row>
    <row r="8" customFormat="false" ht="15" hidden="false" customHeight="false" outlineLevel="0" collapsed="false">
      <c r="A8" s="7" t="s">
        <v>185</v>
      </c>
      <c r="B8" s="3" t="n">
        <f aca="false">COUNTIF(Assessment!F4:F31,"Neutral")</f>
        <v>9</v>
      </c>
      <c r="C8" s="3" t="n">
        <f aca="false">COUNTIF(Assessment!I4:I31,"Neutral")</f>
        <v>7</v>
      </c>
    </row>
    <row r="9" customFormat="false" ht="15" hidden="false" customHeight="false" outlineLevel="0" collapsed="false">
      <c r="A9" s="6" t="s">
        <v>186</v>
      </c>
      <c r="B9" s="3" t="n">
        <f aca="false">COUNTIF(Assessment!F4:F31,"Unfavorable")</f>
        <v>1</v>
      </c>
      <c r="C9" s="3" t="n">
        <f aca="false">COUNTIF(Assessment!I4:I31,"Unfavorable")</f>
        <v>6</v>
      </c>
    </row>
    <row r="10" customFormat="false" ht="15" hidden="false" customHeight="false" outlineLevel="0" collapsed="false">
      <c r="A10" s="8" t="s">
        <v>187</v>
      </c>
      <c r="B10" s="3" t="n">
        <f aca="false">COUNTIF(Assessment!F4:F31,"Unknown")</f>
        <v>8</v>
      </c>
      <c r="C10" s="3" t="n">
        <f aca="false">COUNTIF(Assessment!I4:I31,"Unknown")</f>
        <v>10</v>
      </c>
    </row>
    <row r="11" customFormat="false" ht="15" hidden="false" customHeight="false" outlineLevel="0" collapsed="false">
      <c r="A11" s="2" t="s">
        <v>188</v>
      </c>
      <c r="B11" s="3" t="n">
        <f aca="false">SUM(B4:B6)</f>
        <v>28</v>
      </c>
      <c r="C11" s="3" t="n">
        <f aca="false">SUM(C4:C6)</f>
        <v>28</v>
      </c>
    </row>
    <row r="13" customFormat="false" ht="26.85" hidden="false" customHeight="false" outlineLevel="0" collapsed="false">
      <c r="A13" s="2" t="s">
        <v>19</v>
      </c>
      <c r="B13" s="3" t="s">
        <v>189</v>
      </c>
      <c r="C13" s="3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191</v>
      </c>
    </row>
    <row r="3" customFormat="false" ht="15" hidden="false" customHeight="false" outlineLevel="0" collapsed="false">
      <c r="A3" s="9" t="s">
        <v>192</v>
      </c>
      <c r="B3" s="9" t="s">
        <v>193</v>
      </c>
      <c r="C3" s="9" t="s">
        <v>194</v>
      </c>
    </row>
    <row r="4" customFormat="false" ht="15" hidden="false" customHeight="false" outlineLevel="0" collapsed="false">
      <c r="A4" s="3" t="s">
        <v>179</v>
      </c>
      <c r="B4" s="3" t="s">
        <v>195</v>
      </c>
      <c r="C4" s="3" t="s">
        <v>196</v>
      </c>
    </row>
    <row r="5" customFormat="false" ht="15" hidden="false" customHeight="false" outlineLevel="0" collapsed="false">
      <c r="A5" s="3" t="s">
        <v>179</v>
      </c>
      <c r="B5" s="3" t="s">
        <v>100</v>
      </c>
      <c r="C5" s="3" t="s">
        <v>197</v>
      </c>
    </row>
    <row r="6" customFormat="false" ht="15" hidden="false" customHeight="false" outlineLevel="0" collapsed="false">
      <c r="A6" s="3" t="s">
        <v>179</v>
      </c>
      <c r="B6" s="3" t="s">
        <v>152</v>
      </c>
      <c r="C6" s="3" t="s">
        <v>198</v>
      </c>
    </row>
    <row r="7" customFormat="false" ht="26.85" hidden="false" customHeight="false" outlineLevel="0" collapsed="false">
      <c r="A7" s="3" t="s">
        <v>179</v>
      </c>
      <c r="B7" s="3" t="s">
        <v>166</v>
      </c>
      <c r="C7" s="3" t="s">
        <v>199</v>
      </c>
    </row>
    <row r="8" customFormat="false" ht="15" hidden="false" customHeight="false" outlineLevel="0" collapsed="false">
      <c r="A8" s="3" t="s">
        <v>179</v>
      </c>
      <c r="B8" s="3" t="s">
        <v>173</v>
      </c>
      <c r="C8" s="3" t="s">
        <v>200</v>
      </c>
    </row>
    <row r="9" customFormat="false" ht="15" hidden="false" customHeight="false" outlineLevel="0" collapsed="false">
      <c r="A9" s="3" t="s">
        <v>180</v>
      </c>
      <c r="B9" s="3" t="s">
        <v>195</v>
      </c>
      <c r="C9" s="3" t="s">
        <v>201</v>
      </c>
    </row>
    <row r="10" customFormat="false" ht="26.85" hidden="false" customHeight="false" outlineLevel="0" collapsed="false">
      <c r="A10" s="3" t="s">
        <v>180</v>
      </c>
      <c r="B10" s="3" t="s">
        <v>77</v>
      </c>
      <c r="C10" s="3" t="s">
        <v>202</v>
      </c>
    </row>
    <row r="11" customFormat="false" ht="15" hidden="false" customHeight="false" outlineLevel="0" collapsed="false">
      <c r="A11" s="3" t="s">
        <v>180</v>
      </c>
      <c r="B11" s="3" t="s">
        <v>203</v>
      </c>
      <c r="C11" s="3" t="s">
        <v>204</v>
      </c>
    </row>
    <row r="12" customFormat="false" ht="15" hidden="false" customHeight="false" outlineLevel="0" collapsed="false">
      <c r="A12" s="3" t="s">
        <v>180</v>
      </c>
      <c r="B12" s="3" t="s">
        <v>100</v>
      </c>
      <c r="C12" s="3" t="s">
        <v>205</v>
      </c>
    </row>
    <row r="13" customFormat="false" ht="15" hidden="false" customHeight="false" outlineLevel="0" collapsed="false">
      <c r="A13" s="3" t="s">
        <v>180</v>
      </c>
      <c r="B13" s="3" t="s">
        <v>62</v>
      </c>
      <c r="C13" s="3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207</v>
      </c>
    </row>
    <row r="3" customFormat="false" ht="15" hidden="false" customHeight="false" outlineLevel="0" collapsed="false">
      <c r="A3" s="9" t="s">
        <v>192</v>
      </c>
      <c r="B3" s="9" t="s">
        <v>208</v>
      </c>
      <c r="C3" s="9" t="s">
        <v>209</v>
      </c>
    </row>
    <row r="4" customFormat="false" ht="15" hidden="false" customHeight="false" outlineLevel="0" collapsed="false">
      <c r="A4" s="3" t="s">
        <v>179</v>
      </c>
      <c r="B4" s="3" t="s">
        <v>210</v>
      </c>
      <c r="C4" s="3" t="s">
        <v>211</v>
      </c>
    </row>
    <row r="5" customFormat="false" ht="26.85" hidden="false" customHeight="false" outlineLevel="0" collapsed="false">
      <c r="A5" s="3" t="s">
        <v>179</v>
      </c>
      <c r="B5" s="3" t="s">
        <v>212</v>
      </c>
      <c r="C5" s="3" t="s">
        <v>213</v>
      </c>
    </row>
    <row r="6" customFormat="false" ht="15" hidden="false" customHeight="false" outlineLevel="0" collapsed="false">
      <c r="A6" s="3" t="s">
        <v>179</v>
      </c>
      <c r="B6" s="3" t="s">
        <v>214</v>
      </c>
      <c r="C6" s="3" t="s">
        <v>215</v>
      </c>
    </row>
    <row r="7" customFormat="false" ht="15" hidden="false" customHeight="false" outlineLevel="0" collapsed="false">
      <c r="A7" s="3" t="s">
        <v>179</v>
      </c>
      <c r="B7" s="3" t="s">
        <v>216</v>
      </c>
      <c r="C7" s="3" t="s">
        <v>217</v>
      </c>
    </row>
    <row r="8" customFormat="false" ht="15" hidden="false" customHeight="false" outlineLevel="0" collapsed="false">
      <c r="A8" s="3" t="s">
        <v>179</v>
      </c>
      <c r="B8" s="3" t="s">
        <v>218</v>
      </c>
      <c r="C8" s="3" t="s">
        <v>219</v>
      </c>
    </row>
    <row r="9" customFormat="false" ht="15" hidden="false" customHeight="false" outlineLevel="0" collapsed="false">
      <c r="A9" s="3" t="s">
        <v>179</v>
      </c>
      <c r="B9" s="3" t="s">
        <v>220</v>
      </c>
      <c r="C9" s="3" t="s">
        <v>221</v>
      </c>
    </row>
    <row r="10" customFormat="false" ht="26.85" hidden="false" customHeight="false" outlineLevel="0" collapsed="false">
      <c r="A10" s="3" t="s">
        <v>179</v>
      </c>
      <c r="B10" s="3" t="s">
        <v>222</v>
      </c>
      <c r="C10" s="3" t="s">
        <v>223</v>
      </c>
    </row>
    <row r="11" customFormat="false" ht="26.85" hidden="false" customHeight="false" outlineLevel="0" collapsed="false">
      <c r="A11" s="3" t="s">
        <v>179</v>
      </c>
      <c r="B11" s="3" t="s">
        <v>224</v>
      </c>
      <c r="C11" s="3" t="s">
        <v>225</v>
      </c>
    </row>
    <row r="12" customFormat="false" ht="15" hidden="false" customHeight="false" outlineLevel="0" collapsed="false">
      <c r="A12" s="3" t="s">
        <v>179</v>
      </c>
      <c r="B12" s="3" t="s">
        <v>226</v>
      </c>
      <c r="C12" s="3" t="s">
        <v>227</v>
      </c>
    </row>
    <row r="13" customFormat="false" ht="15" hidden="false" customHeight="false" outlineLevel="0" collapsed="false">
      <c r="A13" s="3" t="s">
        <v>180</v>
      </c>
      <c r="B13" s="3" t="s">
        <v>228</v>
      </c>
      <c r="C13" s="3" t="s">
        <v>229</v>
      </c>
    </row>
    <row r="14" customFormat="false" ht="15" hidden="false" customHeight="false" outlineLevel="0" collapsed="false">
      <c r="A14" s="3" t="s">
        <v>180</v>
      </c>
      <c r="B14" s="3" t="s">
        <v>230</v>
      </c>
      <c r="C14" s="3" t="s">
        <v>231</v>
      </c>
    </row>
    <row r="15" customFormat="false" ht="15" hidden="false" customHeight="false" outlineLevel="0" collapsed="false">
      <c r="A15" s="3" t="s">
        <v>180</v>
      </c>
      <c r="B15" s="3" t="s">
        <v>232</v>
      </c>
      <c r="C15" s="3" t="s">
        <v>233</v>
      </c>
    </row>
    <row r="16" customFormat="false" ht="15" hidden="false" customHeight="false" outlineLevel="0" collapsed="false">
      <c r="A16" s="3" t="s">
        <v>180</v>
      </c>
      <c r="B16" s="3" t="s">
        <v>234</v>
      </c>
      <c r="C16" s="3" t="s">
        <v>235</v>
      </c>
    </row>
    <row r="17" customFormat="false" ht="26.85" hidden="false" customHeight="false" outlineLevel="0" collapsed="false">
      <c r="A17" s="3" t="s">
        <v>180</v>
      </c>
      <c r="B17" s="3" t="s">
        <v>236</v>
      </c>
      <c r="C17" s="3" t="s">
        <v>237</v>
      </c>
    </row>
    <row r="18" customFormat="false" ht="15" hidden="false" customHeight="false" outlineLevel="0" collapsed="false">
      <c r="A18" s="3" t="s">
        <v>180</v>
      </c>
      <c r="B18" s="3" t="s">
        <v>238</v>
      </c>
      <c r="C18" s="3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2026-09-28T21:04:19Z</dcterms:created>
  <dc:creator>openpyxl</dc:creator>
  <dc:description/>
  <dc:language>en-US</dc:language>
  <cp:lastModifiedBy/>
  <dcterms:modified xsi:type="dcterms:W3CDTF">2026-09-28T21:04:19Z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